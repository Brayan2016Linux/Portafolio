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16380" windowHeight="8190" tabRatio="987"/>
  </bookViews>
  <sheets>
    <sheet name="Leasing-INFO" sheetId="1" r:id="rId1"/>
  </sheets>
  <calcPr calcId="145621"/>
  <extLs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D16" i="1" l="1"/>
  <c r="K21" i="1" s="1"/>
  <c r="M21" i="1" l="1"/>
  <c r="F27" i="1"/>
  <c r="C3" i="1"/>
  <c r="G28" i="1" l="1"/>
  <c r="B27" i="1"/>
  <c r="M20" i="1"/>
  <c r="K20" i="1"/>
  <c r="C18" i="1"/>
  <c r="C15" i="1"/>
  <c r="E27" i="1" s="1"/>
  <c r="H27" i="1" s="1"/>
  <c r="C11" i="1"/>
  <c r="G5" i="1"/>
  <c r="C4" i="1" s="1"/>
  <c r="F25" i="1" l="1"/>
  <c r="G25" i="1" s="1"/>
  <c r="J9" i="1"/>
  <c r="K11" i="1"/>
  <c r="K12" i="1"/>
  <c r="K13" i="1"/>
  <c r="K14" i="1"/>
  <c r="K15" i="1"/>
  <c r="K16" i="1"/>
  <c r="H25" i="1"/>
  <c r="C7" i="1"/>
  <c r="D7" i="1"/>
  <c r="E7" i="1"/>
  <c r="F7" i="1"/>
  <c r="G7" i="1"/>
  <c r="C16" i="1"/>
  <c r="C27" i="1"/>
  <c r="D28" i="1" l="1"/>
  <c r="L9" i="1"/>
  <c r="G19" i="1" s="1"/>
  <c r="M19" i="1"/>
  <c r="M23" i="1" s="1"/>
  <c r="K19" i="1"/>
  <c r="K23" i="1" s="1"/>
  <c r="E19" i="1"/>
  <c r="K22" i="1" l="1"/>
  <c r="K24" i="1" s="1"/>
  <c r="M22" i="1"/>
  <c r="M24" i="1" s="1"/>
  <c r="K9" i="1" s="1"/>
  <c r="F19" i="1" s="1"/>
  <c r="C28" i="1" l="1"/>
  <c r="B28" i="1" s="1"/>
  <c r="E28" i="1" l="1"/>
  <c r="F28" i="1" l="1"/>
  <c r="H28" i="1" s="1"/>
</calcChain>
</file>

<file path=xl/sharedStrings.xml><?xml version="1.0" encoding="utf-8"?>
<sst xmlns="http://schemas.openxmlformats.org/spreadsheetml/2006/main" count="81" uniqueCount="69">
  <si>
    <t>TIPO TASA</t>
  </si>
  <si>
    <t>0 = PRIME RATE 1 = LIBOR</t>
  </si>
  <si>
    <t>Ajuste Inflación:</t>
  </si>
  <si>
    <t>INFO:</t>
  </si>
  <si>
    <t>Monto Total del Bien</t>
  </si>
  <si>
    <t>LIBOR</t>
  </si>
  <si>
    <t>OWN PRIME</t>
  </si>
  <si>
    <r>
      <rPr>
        <sz val="10"/>
        <rFont val="Arial"/>
        <family val="2"/>
      </rPr>
      <t>Desarrollado por Brayan Rodríguez &lt;</t>
    </r>
    <r>
      <rPr>
        <sz val="10"/>
        <color rgb="FF0000FF"/>
        <rFont val="Arial"/>
        <family val="2"/>
      </rPr>
      <t>bradrd2009jp@gmail.com</t>
    </r>
    <r>
      <rPr>
        <sz val="10"/>
        <rFont val="Arial"/>
        <family val="2"/>
      </rPr>
      <t>&gt; 2018</t>
    </r>
  </si>
  <si>
    <t>Tasa Efectiva Anual</t>
  </si>
  <si>
    <t>PRIME RATE</t>
  </si>
  <si>
    <t>Vida Útil</t>
  </si>
  <si>
    <t xml:space="preserve"> Años</t>
  </si>
  <si>
    <t>Tasa Nominal</t>
  </si>
  <si>
    <t>Derechos reservados de uso</t>
  </si>
  <si>
    <t>Período</t>
  </si>
  <si>
    <t>Mensual</t>
  </si>
  <si>
    <t>Bimensual</t>
  </si>
  <si>
    <t>Trimestral</t>
  </si>
  <si>
    <t>Cuatrimestral</t>
  </si>
  <si>
    <t>Semestral</t>
  </si>
  <si>
    <t>Licenciamiento regulado por derechos de autor</t>
  </si>
  <si>
    <t>Tasa Efectiva Equiv.</t>
  </si>
  <si>
    <t>PMT</t>
  </si>
  <si>
    <t>Cuota Base</t>
  </si>
  <si>
    <t>Amort. Contante</t>
  </si>
  <si>
    <t>Tiempo Leasing</t>
  </si>
  <si>
    <t>Número Período/Año</t>
  </si>
  <si>
    <t>Número de cuotas</t>
  </si>
  <si>
    <t>Tipo Leasing</t>
  </si>
  <si>
    <t>Progresión:</t>
  </si>
  <si>
    <t>Cuota Inicial (Prima %)</t>
  </si>
  <si>
    <t>Aumento</t>
  </si>
  <si>
    <t>Cuota inicial Monto</t>
  </si>
  <si>
    <t>Forma pago:</t>
  </si>
  <si>
    <t>0 = Cuotas Constantes</t>
  </si>
  <si>
    <t>2= Amort. Constante</t>
  </si>
  <si>
    <t>Monto a Financiar</t>
  </si>
  <si>
    <t>1 = Cuotas Crecientes</t>
  </si>
  <si>
    <t>0 = Aritmética</t>
  </si>
  <si>
    <t>Opción de compra %</t>
  </si>
  <si>
    <t>1 = Geométrica</t>
  </si>
  <si>
    <t>Valor de Compra</t>
  </si>
  <si>
    <t>Cuota Constante</t>
  </si>
  <si>
    <t>Amort. Constante</t>
  </si>
  <si>
    <t>Aritmética</t>
  </si>
  <si>
    <t>Geométrica</t>
  </si>
  <si>
    <t>Tasa:</t>
  </si>
  <si>
    <t>Incremento:</t>
  </si>
  <si>
    <t>Períodos:</t>
  </si>
  <si>
    <t>I.V.</t>
  </si>
  <si>
    <t>Incluye I.V.:</t>
  </si>
  <si>
    <t>0 = Sin I.V.  1 = Con I.V.</t>
  </si>
  <si>
    <t>Financiado:</t>
  </si>
  <si>
    <t>Gradiente:</t>
  </si>
  <si>
    <t>Opción Compra:</t>
  </si>
  <si>
    <t>Cuota</t>
  </si>
  <si>
    <t>Importe Total</t>
  </si>
  <si>
    <t>Cuota Base:</t>
  </si>
  <si>
    <t>Saldo</t>
  </si>
  <si>
    <t>Amortización</t>
  </si>
  <si>
    <t>Interés</t>
  </si>
  <si>
    <t>Leasing - Prestamos: Tabla de Amortización BRD</t>
  </si>
  <si>
    <t>TIPO LEASING: 0 = Financiero; 1 = Operativo (Renting)</t>
  </si>
  <si>
    <t>Período/Año: 1= Anual 2=Semestral 3=Cuatrimestral 4=Trimestral 6=Bimensual 12= Mensual</t>
  </si>
  <si>
    <t>Versión Beta 0.2 Para Windows</t>
  </si>
  <si>
    <t>(Impuesto) I.V.</t>
  </si>
  <si>
    <t>Gastos Mantenimiento</t>
  </si>
  <si>
    <t>Gastos Mant.</t>
  </si>
  <si>
    <t>Período Amortización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</si>
</sst>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-409]#,##0.00;[Red]\-[$$-409]#,##0.00"/>
  </numFmts>
  <fonts count="4" x14ac:knownFonts="1">
    <font>
      <sz val="10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66FF00"/>
        <bgColor rgb="FF99FF33"/>
      </patternFill>
    </fill>
    <fill>
      <patternFill patternType="solid">
        <fgColor rgb="FF99FF33"/>
        <bgColor rgb="FF66FF00"/>
      </patternFill>
    </fill>
    <fill>
      <patternFill patternType="solid">
        <fgColor rgb="FFFF6600"/>
        <bgColor rgb="FFFF9900"/>
      </patternFill>
    </fill>
    <fill>
      <patternFill patternType="solid">
        <fgColor rgb="FFB2B2B2"/>
        <bgColor rgb="FFCCCCCC"/>
      </patternFill>
    </fill>
    <fill>
      <patternFill patternType="solid">
        <fgColor theme="0" tint="-0.34998626667073579"/>
        <bgColor rgb="FFCCCC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rgb="FFFFFF66"/>
      </patternFill>
    </fill>
    <fill>
      <patternFill patternType="solid">
        <fgColor rgb="FFFFC000"/>
        <bgColor rgb="FFFFFF99"/>
      </patternFill>
    </fill>
    <fill>
      <patternFill patternType="solid">
        <fgColor theme="0" tint="-0.34998626667073579"/>
        <bgColor rgb="FFDDDDDD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0" fillId="0" borderId="0" xfId="0" applyFont="1" applyProtection="1">
      <protection hidden="1"/>
    </xf>
    <xf numFmtId="164" fontId="0" fillId="0" borderId="0" xfId="0" applyNumberFormat="1"/>
    <xf numFmtId="0" fontId="0" fillId="6" borderId="0" xfId="0" applyFill="1"/>
    <xf numFmtId="2" fontId="0" fillId="6" borderId="0" xfId="0" applyNumberFormat="1" applyFill="1"/>
    <xf numFmtId="0" fontId="0" fillId="7" borderId="0" xfId="0" applyFill="1"/>
    <xf numFmtId="2" fontId="0" fillId="7" borderId="0" xfId="0" applyNumberFormat="1" applyFill="1"/>
    <xf numFmtId="0" fontId="0" fillId="8" borderId="0" xfId="0" applyFill="1"/>
    <xf numFmtId="0" fontId="1" fillId="4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2" fontId="0" fillId="6" borderId="1" xfId="0" applyNumberFormat="1" applyFill="1" applyBorder="1"/>
    <xf numFmtId="0" fontId="0" fillId="6" borderId="1" xfId="0" applyFill="1" applyBorder="1"/>
    <xf numFmtId="10" fontId="0" fillId="0" borderId="1" xfId="0" applyNumberForma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0" applyFont="1" applyFill="1" applyBorder="1"/>
    <xf numFmtId="10" fontId="0" fillId="0" borderId="1" xfId="0" applyNumberFormat="1" applyBorder="1"/>
    <xf numFmtId="10" fontId="0" fillId="2" borderId="1" xfId="0" applyNumberFormat="1" applyFill="1" applyBorder="1"/>
    <xf numFmtId="2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/>
    <xf numFmtId="10" fontId="0" fillId="6" borderId="1" xfId="0" applyNumberFormat="1" applyFill="1" applyBorder="1"/>
    <xf numFmtId="4" fontId="0" fillId="0" borderId="1" xfId="0" applyNumberFormat="1" applyBorder="1"/>
    <xf numFmtId="0" fontId="1" fillId="2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0" fontId="0" fillId="0" borderId="3" xfId="0" applyNumberFormat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1" fillId="10" borderId="5" xfId="0" applyFont="1" applyFill="1" applyBorder="1"/>
    <xf numFmtId="0" fontId="1" fillId="10" borderId="6" xfId="0" applyFont="1" applyFill="1" applyBorder="1"/>
    <xf numFmtId="0" fontId="1" fillId="10" borderId="7" xfId="0" applyFont="1" applyFill="1" applyBorder="1"/>
    <xf numFmtId="0" fontId="1" fillId="10" borderId="8" xfId="0" applyFont="1" applyFill="1" applyBorder="1"/>
    <xf numFmtId="1" fontId="1" fillId="9" borderId="3" xfId="0" applyNumberFormat="1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0" fillId="0" borderId="1" xfId="0" applyFont="1" applyBorder="1"/>
    <xf numFmtId="10" fontId="0" fillId="6" borderId="1" xfId="0" applyNumberFormat="1" applyFont="1" applyFill="1" applyBorder="1"/>
    <xf numFmtId="0" fontId="1" fillId="0" borderId="1" xfId="0" applyFont="1" applyBorder="1"/>
    <xf numFmtId="0" fontId="1" fillId="3" borderId="1" xfId="0" applyFont="1" applyFill="1" applyBorder="1"/>
    <xf numFmtId="0" fontId="1" fillId="9" borderId="1" xfId="0" applyFont="1" applyFill="1" applyBorder="1"/>
    <xf numFmtId="10" fontId="0" fillId="0" borderId="1" xfId="1" applyNumberFormat="1" applyFont="1" applyBorder="1"/>
    <xf numFmtId="0" fontId="1" fillId="12" borderId="1" xfId="0" applyFont="1" applyFill="1" applyBorder="1" applyAlignment="1">
      <alignment horizontal="center"/>
    </xf>
    <xf numFmtId="0" fontId="0" fillId="7" borderId="1" xfId="0" applyFill="1" applyBorder="1"/>
    <xf numFmtId="2" fontId="0" fillId="8" borderId="0" xfId="0" applyNumberFormat="1" applyFill="1"/>
    <xf numFmtId="0" fontId="1" fillId="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66FF00"/>
      <rgbColor rgb="FF0000FF"/>
      <rgbColor rgb="FFFFFF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FF33"/>
      <rgbColor rgb="FFFFCC00"/>
      <rgbColor rgb="FFFF9900"/>
      <rgbColor rgb="FFFF6600"/>
      <rgbColor rgb="FF666699"/>
      <rgbColor rgb="FFB2B2B2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104775</xdr:rowOff>
        </xdr:from>
        <xdr:to>
          <xdr:col>1</xdr:col>
          <xdr:colOff>1228725</xdr:colOff>
          <xdr:row>24</xdr:row>
          <xdr:rowOff>85725</xdr:rowOff>
        </xdr:to>
        <xdr:sp macro="" textlink="">
          <xdr:nvSpPr>
            <xdr:cNvPr id="1025" name="Genera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1333500</xdr:colOff>
          <xdr:row>22</xdr:row>
          <xdr:rowOff>104775</xdr:rowOff>
        </xdr:from>
        <xdr:to>
          <xdr:col>2</xdr:col>
          <xdr:colOff>1104900</xdr:colOff>
          <xdr:row>24</xdr:row>
          <xdr:rowOff>85725</xdr:rowOff>
        </xdr:to>
        <xdr:sp macro="" textlink="">
          <xdr:nvSpPr>
            <xdr:cNvPr id="1026" name="Limpia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radrd2009jp@gmail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48"/>
  <sheetViews>
    <sheetView showGridLines="0" tabSelected="1" zoomScale="106" zoomScaleNormal="106" workbookViewId="0">
      <selection activeCell="A29" sqref="A29"/>
    </sheetView>
  </sheetViews>
  <sheetFormatPr defaultRowHeight="12.75" x14ac:dyDescent="0.2"/>
  <cols>
    <col min="1" max="1" width="11.5703125"/>
    <col min="2" max="2" width="21.7109375"/>
    <col min="3" max="3" width="19.7109375"/>
    <col min="4" max="4" width="24.140625"/>
    <col min="5" max="5" width="25.5703125"/>
    <col min="6" max="6" width="22.140625"/>
    <col min="7" max="7" width="22.28515625"/>
    <col min="8" max="8" width="19.42578125"/>
    <col min="9" max="9" width="11.5703125"/>
    <col min="10" max="10" width="13"/>
    <col min="11" max="11" width="15.28515625"/>
    <col min="12" max="12" width="16.5703125"/>
    <col min="13" max="13" width="13.140625"/>
    <col min="14" max="1025" width="11.5703125"/>
  </cols>
  <sheetData>
    <row r="1" spans="1:17" x14ac:dyDescent="0.2">
      <c r="A1" s="1" t="s">
        <v>61</v>
      </c>
    </row>
    <row r="2" spans="1:17" x14ac:dyDescent="0.2">
      <c r="D2" s="47" t="s">
        <v>0</v>
      </c>
      <c r="E2" s="42" t="s">
        <v>1</v>
      </c>
      <c r="F2" s="22" t="s">
        <v>2</v>
      </c>
      <c r="G2" s="18">
        <v>2.41E-2</v>
      </c>
      <c r="Q2" s="1" t="s">
        <v>3</v>
      </c>
    </row>
    <row r="3" spans="1:17" x14ac:dyDescent="0.2">
      <c r="B3" s="41" t="s">
        <v>4</v>
      </c>
      <c r="C3" s="40">
        <f>165*1200 + 120000</f>
        <v>318000</v>
      </c>
      <c r="D3" s="47"/>
      <c r="E3" s="23" t="s">
        <v>5</v>
      </c>
      <c r="F3" s="18">
        <v>2.4799999999999999E-2</v>
      </c>
      <c r="G3" s="14" t="s">
        <v>6</v>
      </c>
      <c r="Q3" s="2" t="s">
        <v>7</v>
      </c>
    </row>
    <row r="4" spans="1:17" x14ac:dyDescent="0.2">
      <c r="B4" s="41" t="s">
        <v>8</v>
      </c>
      <c r="C4" s="39">
        <f>IF(D4=0, (1+G2)*(1+G5)*(1+F4)-1, (1+G2)*(1+G5)*(1+F3)-1)</f>
        <v>0.15995420779699976</v>
      </c>
      <c r="D4" s="15">
        <v>0</v>
      </c>
      <c r="E4" s="23" t="s">
        <v>9</v>
      </c>
      <c r="F4" s="18">
        <v>2.29E-2</v>
      </c>
      <c r="G4" s="43">
        <v>8.4400000000000003E-2</v>
      </c>
      <c r="Q4" t="s">
        <v>64</v>
      </c>
    </row>
    <row r="5" spans="1:17" x14ac:dyDescent="0.2">
      <c r="B5" s="17" t="s">
        <v>10</v>
      </c>
      <c r="C5" s="38">
        <v>25</v>
      </c>
      <c r="D5" s="48" t="s">
        <v>11</v>
      </c>
      <c r="E5" s="48"/>
      <c r="F5" s="10" t="s">
        <v>12</v>
      </c>
      <c r="G5" s="24">
        <f>G4+F4</f>
        <v>0.10730000000000001</v>
      </c>
      <c r="Q5" t="s">
        <v>13</v>
      </c>
    </row>
    <row r="6" spans="1:17" x14ac:dyDescent="0.2">
      <c r="B6" s="17" t="s">
        <v>14</v>
      </c>
      <c r="C6" s="9" t="s">
        <v>15</v>
      </c>
      <c r="D6" s="9" t="s">
        <v>16</v>
      </c>
      <c r="E6" s="9" t="s">
        <v>17</v>
      </c>
      <c r="F6" s="9" t="s">
        <v>18</v>
      </c>
      <c r="G6" s="9" t="s">
        <v>19</v>
      </c>
      <c r="Q6" t="s">
        <v>20</v>
      </c>
    </row>
    <row r="7" spans="1:17" x14ac:dyDescent="0.2">
      <c r="B7" s="17" t="s">
        <v>21</v>
      </c>
      <c r="C7" s="39">
        <f>(1+$C$4)^(1/12)-1</f>
        <v>1.2441807249301107E-2</v>
      </c>
      <c r="D7" s="24">
        <f>(1+$C$4)^(1/6)-1</f>
        <v>2.5038413066230891E-2</v>
      </c>
      <c r="E7" s="24">
        <f>(1+$C$4)^(1/4)-1</f>
        <v>3.7791743424730351E-2</v>
      </c>
      <c r="F7" s="24">
        <f>(1+$C$4)^(1/3)-1</f>
        <v>5.0703748261337056E-2</v>
      </c>
      <c r="G7" s="24">
        <f>(1+$C$4)^(1/2)-1</f>
        <v>7.7011702720541253E-2</v>
      </c>
      <c r="J7" s="29">
        <v>0</v>
      </c>
      <c r="K7" s="29">
        <v>1</v>
      </c>
      <c r="L7" s="29">
        <v>2</v>
      </c>
    </row>
    <row r="8" spans="1:17" x14ac:dyDescent="0.2">
      <c r="J8" s="10" t="s">
        <v>22</v>
      </c>
      <c r="K8" s="10" t="s">
        <v>23</v>
      </c>
      <c r="L8" s="10" t="s">
        <v>24</v>
      </c>
    </row>
    <row r="9" spans="1:17" x14ac:dyDescent="0.2">
      <c r="B9" s="17" t="s">
        <v>25</v>
      </c>
      <c r="C9" s="25">
        <v>10</v>
      </c>
      <c r="D9" s="48" t="s">
        <v>11</v>
      </c>
      <c r="E9" s="48"/>
      <c r="F9" s="48"/>
      <c r="G9" s="48"/>
      <c r="J9" s="21">
        <f>IF($C$10 = 12, PMT(C7, $D$16, -$C$16, $C$18), IF($C$10 = 6, PMT(D7, $D$16, -$C$16, $C$18), IF($C$10 = 4, PMT(E7, $D$16, -$C$16, $C$18), IF($C$10 = 3, PMT(F7, $D$16, -$C$16, $C$18), IF($C$10=2, PMT(G7, $D$16, -$C$16, $C$18), PMT(C4, $D$16, -$C$16, $C$18))))))</f>
        <v>5116.8612333475976</v>
      </c>
      <c r="K9" s="21">
        <f>IF(H18= 1, $M$24, $K$24)</f>
        <v>1667.6538785523881</v>
      </c>
      <c r="L9" s="21">
        <f>($C$16-$C$18)/$C$11</f>
        <v>2650</v>
      </c>
    </row>
    <row r="10" spans="1:17" x14ac:dyDescent="0.2">
      <c r="B10" s="17" t="s">
        <v>26</v>
      </c>
      <c r="C10" s="16">
        <v>12</v>
      </c>
      <c r="D10" s="49" t="s">
        <v>63</v>
      </c>
      <c r="E10" s="49"/>
      <c r="F10" s="49"/>
      <c r="G10" s="49"/>
    </row>
    <row r="11" spans="1:17" x14ac:dyDescent="0.2">
      <c r="B11" s="17" t="s">
        <v>27</v>
      </c>
      <c r="C11" s="12">
        <f>C9*C10</f>
        <v>120</v>
      </c>
      <c r="J11" s="37">
        <v>12</v>
      </c>
      <c r="K11" s="21">
        <f>PMT(C7, $D$16, -$C$16, $C$18)</f>
        <v>5116.8612333475976</v>
      </c>
    </row>
    <row r="12" spans="1:17" x14ac:dyDescent="0.2">
      <c r="J12" s="37">
        <v>6</v>
      </c>
      <c r="K12" s="21">
        <f>PMT(D7, $D$16, -$C$16, $C$18)</f>
        <v>8393.8793537649108</v>
      </c>
    </row>
    <row r="13" spans="1:17" x14ac:dyDescent="0.2">
      <c r="B13" s="17" t="s">
        <v>28</v>
      </c>
      <c r="C13" s="16">
        <v>0</v>
      </c>
      <c r="D13" s="49" t="s">
        <v>62</v>
      </c>
      <c r="E13" s="49"/>
      <c r="F13" s="49"/>
      <c r="G13" s="50"/>
      <c r="H13" s="36" t="s">
        <v>29</v>
      </c>
      <c r="J13" s="37">
        <v>4</v>
      </c>
      <c r="K13" s="21">
        <f>PMT(E7, $D$16, -$C$16, $C$18)</f>
        <v>12159.579960507348</v>
      </c>
    </row>
    <row r="14" spans="1:17" x14ac:dyDescent="0.2">
      <c r="B14" s="17" t="s">
        <v>30</v>
      </c>
      <c r="C14" s="18">
        <v>0</v>
      </c>
      <c r="H14" s="10" t="s">
        <v>31</v>
      </c>
      <c r="J14" s="37">
        <v>3</v>
      </c>
      <c r="K14" s="21">
        <f>PMT(F7, $D$16, -$C$16, $C$18)</f>
        <v>16166.54660858392</v>
      </c>
    </row>
    <row r="15" spans="1:17" x14ac:dyDescent="0.2">
      <c r="B15" s="17" t="s">
        <v>32</v>
      </c>
      <c r="C15" s="11">
        <f>$C$14*$C$3</f>
        <v>0</v>
      </c>
      <c r="D15" s="44" t="s">
        <v>68</v>
      </c>
      <c r="E15" s="26" t="s">
        <v>33</v>
      </c>
      <c r="F15" s="31" t="s">
        <v>34</v>
      </c>
      <c r="G15" s="32" t="s">
        <v>35</v>
      </c>
      <c r="H15" s="28">
        <v>0.02</v>
      </c>
      <c r="J15" s="37">
        <v>2</v>
      </c>
      <c r="K15" s="21">
        <f>PMT(G7, $D$16, -$C$16, $C$18)</f>
        <v>24493.052600145769</v>
      </c>
    </row>
    <row r="16" spans="1:17" x14ac:dyDescent="0.2">
      <c r="B16" s="17" t="s">
        <v>36</v>
      </c>
      <c r="C16" s="11">
        <f>$C$3-$C$15</f>
        <v>318000</v>
      </c>
      <c r="D16" s="45">
        <f>IF(C13=1,C5*C10,C11)</f>
        <v>120</v>
      </c>
      <c r="E16" s="27">
        <v>0</v>
      </c>
      <c r="F16" s="33" t="s">
        <v>37</v>
      </c>
      <c r="G16" s="34"/>
      <c r="H16" s="35" t="s">
        <v>38</v>
      </c>
      <c r="J16" s="37">
        <v>1</v>
      </c>
      <c r="K16" s="21">
        <f>PMT(C4, $D$16, -$C$16, $C$18)</f>
        <v>50865.439020298196</v>
      </c>
    </row>
    <row r="17" spans="1:13" x14ac:dyDescent="0.2">
      <c r="B17" s="17" t="s">
        <v>39</v>
      </c>
      <c r="C17" s="18">
        <v>0</v>
      </c>
      <c r="E17" s="29">
        <v>0</v>
      </c>
      <c r="F17" s="30">
        <v>1</v>
      </c>
      <c r="G17" s="30">
        <v>2</v>
      </c>
      <c r="H17" s="36" t="s">
        <v>40</v>
      </c>
    </row>
    <row r="18" spans="1:13" x14ac:dyDescent="0.2">
      <c r="B18" s="17" t="s">
        <v>41</v>
      </c>
      <c r="C18" s="11">
        <f>IF(C13=1, 0, C17*C3)</f>
        <v>0</v>
      </c>
      <c r="E18" s="10" t="s">
        <v>42</v>
      </c>
      <c r="F18" s="10" t="s">
        <v>23</v>
      </c>
      <c r="G18" s="10" t="s">
        <v>43</v>
      </c>
      <c r="H18" s="51">
        <v>1</v>
      </c>
      <c r="J18" s="52" t="s">
        <v>44</v>
      </c>
      <c r="K18" s="52"/>
      <c r="L18" s="52" t="s">
        <v>45</v>
      </c>
      <c r="M18" s="52"/>
    </row>
    <row r="19" spans="1:13" x14ac:dyDescent="0.2">
      <c r="E19" s="11">
        <f>IF(E16=0,J9,"")</f>
        <v>5116.8612333475976</v>
      </c>
      <c r="F19" s="11" t="str">
        <f>IF(E16=1, K9, "")</f>
        <v/>
      </c>
      <c r="G19" s="12" t="str">
        <f>IF($E$16 =2, L9, "")</f>
        <v/>
      </c>
      <c r="H19" s="51"/>
      <c r="J19" s="37" t="s">
        <v>46</v>
      </c>
      <c r="K19" s="19">
        <f>IF($C$10=12,$C$7, IF($C$10=6,$D$7, IF($C$10=4, $E$7, IF($C$10=3, $F$7, IF($C$10= 2, $G$7, $C$4)))))</f>
        <v>1.2441807249301107E-2</v>
      </c>
      <c r="L19" s="37" t="s">
        <v>46</v>
      </c>
      <c r="M19" s="19">
        <f>IF($C$10=12,$C$7, IF($C$10=6,$D$7, IF($C$10=4, $E$7, IF($C$10=3, $F$7, IF($C$10= 2, $G$7, $C$4)))))</f>
        <v>1.2441807249301107E-2</v>
      </c>
    </row>
    <row r="20" spans="1:13" x14ac:dyDescent="0.2">
      <c r="B20" s="14" t="s">
        <v>66</v>
      </c>
      <c r="C20" s="16">
        <v>2650</v>
      </c>
      <c r="J20" s="37" t="s">
        <v>47</v>
      </c>
      <c r="K20" s="19">
        <f>$H$15</f>
        <v>0.02</v>
      </c>
      <c r="L20" s="37" t="s">
        <v>47</v>
      </c>
      <c r="M20" s="19">
        <f>$H$15</f>
        <v>0.02</v>
      </c>
    </row>
    <row r="21" spans="1:13" x14ac:dyDescent="0.2">
      <c r="J21" s="37" t="s">
        <v>48</v>
      </c>
      <c r="K21" s="20">
        <f>$D$16</f>
        <v>120</v>
      </c>
      <c r="L21" s="37" t="s">
        <v>48</v>
      </c>
      <c r="M21" s="20">
        <f>$D$16</f>
        <v>120</v>
      </c>
    </row>
    <row r="22" spans="1:13" x14ac:dyDescent="0.2">
      <c r="B22" s="10" t="s">
        <v>65</v>
      </c>
      <c r="C22" s="13">
        <v>0.15</v>
      </c>
      <c r="D22" s="14" t="s">
        <v>50</v>
      </c>
      <c r="E22" s="15">
        <v>0</v>
      </c>
      <c r="F22" s="53" t="s">
        <v>51</v>
      </c>
      <c r="G22" s="53"/>
      <c r="J22" s="37" t="s">
        <v>52</v>
      </c>
      <c r="K22" s="20">
        <f>$C$16-$C$18*(1+M19)^-M21</f>
        <v>318000</v>
      </c>
      <c r="L22" s="37" t="s">
        <v>52</v>
      </c>
      <c r="M22" s="20">
        <f>$C$16-$C$18*(1+M19)^-M21</f>
        <v>318000</v>
      </c>
    </row>
    <row r="23" spans="1:13" x14ac:dyDescent="0.2">
      <c r="J23" s="37" t="s">
        <v>53</v>
      </c>
      <c r="K23" s="20">
        <f>(K19*((1+K19)^K21-1) + K20*((1+K19)^K21 - 1 - K21*K19))/(K19^2 * (1+K19)^K21)</f>
        <v>118.30442953543609</v>
      </c>
      <c r="L23" s="37" t="s">
        <v>53</v>
      </c>
      <c r="M23" s="20">
        <f>(1+M20)^M21*(1+M19)^-M21 - 1</f>
        <v>1.4412494856598288</v>
      </c>
    </row>
    <row r="24" spans="1:13" x14ac:dyDescent="0.2">
      <c r="E24" s="54" t="s">
        <v>54</v>
      </c>
      <c r="F24" s="10" t="s">
        <v>55</v>
      </c>
      <c r="G24" s="10" t="s">
        <v>49</v>
      </c>
      <c r="H24" s="10" t="s">
        <v>56</v>
      </c>
      <c r="J24" s="37" t="s">
        <v>57</v>
      </c>
      <c r="K24" s="20">
        <f>K22/K23</f>
        <v>2687.9805029172512</v>
      </c>
      <c r="L24" s="37" t="s">
        <v>57</v>
      </c>
      <c r="M24" s="20">
        <f>M22*(M20-M19)/M23</f>
        <v>1667.6538785523881</v>
      </c>
    </row>
    <row r="25" spans="1:13" x14ac:dyDescent="0.2">
      <c r="E25" s="54"/>
      <c r="F25" s="11">
        <f>$C$18</f>
        <v>0</v>
      </c>
      <c r="G25" s="12">
        <f>IF(E22=1, F25*C22,0)</f>
        <v>0</v>
      </c>
      <c r="H25" s="11">
        <f>F25+G25</f>
        <v>0</v>
      </c>
      <c r="K25" s="3"/>
    </row>
    <row r="26" spans="1:13" x14ac:dyDescent="0.2">
      <c r="A26" s="9" t="s">
        <v>55</v>
      </c>
      <c r="B26" s="9" t="s">
        <v>58</v>
      </c>
      <c r="C26" s="9" t="s">
        <v>59</v>
      </c>
      <c r="D26" s="9" t="s">
        <v>60</v>
      </c>
      <c r="E26" s="9" t="s">
        <v>55</v>
      </c>
      <c r="F26" s="9" t="s">
        <v>49</v>
      </c>
      <c r="G26" s="9" t="s">
        <v>67</v>
      </c>
      <c r="H26" s="9" t="s">
        <v>56</v>
      </c>
    </row>
    <row r="27" spans="1:13" x14ac:dyDescent="0.2">
      <c r="A27" s="4">
        <v>0</v>
      </c>
      <c r="B27" s="4">
        <f>$C$3</f>
        <v>318000</v>
      </c>
      <c r="C27" s="5">
        <f>$C$15</f>
        <v>0</v>
      </c>
      <c r="D27" s="4">
        <v>0</v>
      </c>
      <c r="E27" s="5">
        <f>$C$15</f>
        <v>0</v>
      </c>
      <c r="F27" s="5">
        <f>C27*C22</f>
        <v>0</v>
      </c>
      <c r="G27" s="4"/>
      <c r="H27" s="5">
        <f t="shared" ref="H27:H28" si="0">E27+F27+G27</f>
        <v>0</v>
      </c>
    </row>
    <row r="28" spans="1:13" x14ac:dyDescent="0.2">
      <c r="A28" s="6">
        <v>1</v>
      </c>
      <c r="B28" s="7">
        <f t="shared" ref="B28" si="1">IF(A28=1,$C$16-C28, B27-C28)</f>
        <v>316839.63347193017</v>
      </c>
      <c r="C28" s="7">
        <f t="shared" ref="C28" si="2">IF($E$16=0, $E$19-$D28, IF($E$16=1, E28-D28, $G$19))</f>
        <v>1160.3665280698456</v>
      </c>
      <c r="D28" s="7">
        <f t="shared" ref="D28" si="3">IF(A28=1,IF($C$10=12, $C$7*$C$16, IF($C$10=6, $D$7*$C$16, IF($C$10=4, $E$7*$C$16, IF($C$10=3, $F$7*$C$16, IF($C$10=2, $G$7*$C$16, $C$4*($C$16)))))),IF($C$10=12, $C$7*B27, IF($C$10=6, $D$7*B27, IF($C$10=4, $E$7*B27, IF($C$10=3, $F$7*B27, IF($C$10=2, $G$7*B27, $C$4*B27))))))</f>
        <v>3956.494705277752</v>
      </c>
      <c r="E28" s="7">
        <f t="shared" ref="E28" si="4">IF($E$16=1, IF($H$18=1, $F$19*(1+$H$15)^(A28-1), $F$19*(1+$H$15*(A28-1))), C28+D28)</f>
        <v>5116.8612333475976</v>
      </c>
      <c r="F28" s="7">
        <f t="shared" ref="F28:F91" si="5">IF($E$22=0, 0, $E28*$C$22)</f>
        <v>0</v>
      </c>
      <c r="G28" s="6">
        <f t="shared" ref="G28:G91" si="6">$C$20</f>
        <v>2650</v>
      </c>
      <c r="H28" s="7">
        <f t="shared" si="0"/>
        <v>7766.8612333475976</v>
      </c>
    </row>
    <row r="29" spans="1:13" x14ac:dyDescent="0.2">
      <c r="A29" s="8"/>
      <c r="B29" s="46"/>
      <c r="C29" s="46"/>
      <c r="D29" s="46"/>
      <c r="E29" s="46"/>
      <c r="F29" s="46"/>
      <c r="G29" s="8"/>
      <c r="H29" s="46"/>
    </row>
    <row r="30" spans="1:13" x14ac:dyDescent="0.2">
      <c r="A30" s="8"/>
      <c r="B30" s="46"/>
      <c r="C30" s="46"/>
      <c r="D30" s="46"/>
      <c r="E30" s="46"/>
      <c r="F30" s="46"/>
      <c r="G30" s="8"/>
      <c r="H30" s="46"/>
    </row>
    <row r="31" spans="1:13" x14ac:dyDescent="0.2">
      <c r="A31" s="8"/>
      <c r="B31" s="46"/>
      <c r="C31" s="46"/>
      <c r="D31" s="46"/>
      <c r="E31" s="46"/>
      <c r="F31" s="46"/>
      <c r="G31" s="8"/>
      <c r="H31" s="46"/>
    </row>
    <row r="32" spans="1:13" x14ac:dyDescent="0.2">
      <c r="A32" s="8"/>
      <c r="B32" s="46"/>
      <c r="C32" s="46"/>
      <c r="D32" s="46"/>
      <c r="E32" s="46"/>
      <c r="F32" s="46"/>
      <c r="G32" s="8"/>
      <c r="H32" s="46"/>
    </row>
    <row r="33" spans="1:8" x14ac:dyDescent="0.2">
      <c r="A33" s="8"/>
      <c r="B33" s="46"/>
      <c r="C33" s="46"/>
      <c r="D33" s="46"/>
      <c r="E33" s="46"/>
      <c r="F33" s="46"/>
      <c r="G33" s="8"/>
      <c r="H33" s="46"/>
    </row>
    <row r="34" spans="1:8" x14ac:dyDescent="0.2">
      <c r="A34" s="8"/>
      <c r="B34" s="46"/>
      <c r="C34" s="46"/>
      <c r="D34" s="46"/>
      <c r="E34" s="46"/>
      <c r="F34" s="46"/>
      <c r="G34" s="8"/>
      <c r="H34" s="46"/>
    </row>
    <row r="35" spans="1:8" x14ac:dyDescent="0.2">
      <c r="A35" s="8"/>
      <c r="B35" s="46"/>
      <c r="C35" s="46"/>
      <c r="D35" s="46"/>
      <c r="E35" s="46"/>
      <c r="F35" s="46"/>
      <c r="G35" s="8"/>
      <c r="H35" s="46"/>
    </row>
    <row r="36" spans="1:8" x14ac:dyDescent="0.2">
      <c r="A36" s="8"/>
      <c r="B36" s="46"/>
      <c r="C36" s="46"/>
      <c r="D36" s="46"/>
      <c r="E36" s="46"/>
      <c r="F36" s="46"/>
      <c r="G36" s="8"/>
      <c r="H36" s="46"/>
    </row>
    <row r="37" spans="1:8" x14ac:dyDescent="0.2">
      <c r="A37" s="8"/>
      <c r="B37" s="46"/>
      <c r="C37" s="46"/>
      <c r="D37" s="46"/>
      <c r="E37" s="46"/>
      <c r="F37" s="46"/>
      <c r="G37" s="8"/>
      <c r="H37" s="46"/>
    </row>
    <row r="38" spans="1:8" x14ac:dyDescent="0.2">
      <c r="A38" s="8"/>
      <c r="B38" s="46"/>
      <c r="C38" s="46"/>
      <c r="D38" s="46"/>
      <c r="E38" s="46"/>
      <c r="F38" s="46"/>
      <c r="G38" s="8"/>
      <c r="H38" s="46"/>
    </row>
    <row r="39" spans="1:8" x14ac:dyDescent="0.2">
      <c r="A39" s="8"/>
      <c r="B39" s="46"/>
      <c r="C39" s="46"/>
      <c r="D39" s="46"/>
      <c r="E39" s="46"/>
      <c r="F39" s="46"/>
      <c r="G39" s="8"/>
      <c r="H39" s="46"/>
    </row>
    <row r="40" spans="1:8" x14ac:dyDescent="0.2">
      <c r="A40" s="8"/>
      <c r="B40" s="46"/>
      <c r="C40" s="46"/>
      <c r="D40" s="46"/>
      <c r="E40" s="46"/>
      <c r="F40" s="46"/>
      <c r="G40" s="8"/>
      <c r="H40" s="46"/>
    </row>
    <row r="41" spans="1:8" x14ac:dyDescent="0.2">
      <c r="A41" s="8"/>
      <c r="B41" s="46"/>
      <c r="C41" s="46"/>
      <c r="D41" s="46"/>
      <c r="E41" s="46"/>
      <c r="F41" s="46"/>
      <c r="G41" s="8"/>
      <c r="H41" s="46"/>
    </row>
    <row r="42" spans="1:8" x14ac:dyDescent="0.2">
      <c r="A42" s="8"/>
      <c r="B42" s="46"/>
      <c r="C42" s="46"/>
      <c r="D42" s="46"/>
      <c r="E42" s="46"/>
      <c r="F42" s="46"/>
      <c r="G42" s="8"/>
      <c r="H42" s="46"/>
    </row>
    <row r="43" spans="1:8" x14ac:dyDescent="0.2">
      <c r="A43" s="8"/>
      <c r="B43" s="46"/>
      <c r="C43" s="46"/>
      <c r="D43" s="46"/>
      <c r="E43" s="46"/>
      <c r="F43" s="46"/>
      <c r="G43" s="8"/>
      <c r="H43" s="46"/>
    </row>
    <row r="44" spans="1:8" x14ac:dyDescent="0.2">
      <c r="A44" s="8"/>
      <c r="B44" s="46"/>
      <c r="C44" s="46"/>
      <c r="D44" s="46"/>
      <c r="E44" s="46"/>
      <c r="F44" s="46"/>
      <c r="G44" s="8"/>
      <c r="H44" s="46"/>
    </row>
    <row r="45" spans="1:8" x14ac:dyDescent="0.2">
      <c r="A45" s="8"/>
      <c r="B45" s="46"/>
      <c r="C45" s="46"/>
      <c r="D45" s="46"/>
      <c r="E45" s="46"/>
      <c r="F45" s="46"/>
      <c r="G45" s="8"/>
      <c r="H45" s="46"/>
    </row>
    <row r="46" spans="1:8" x14ac:dyDescent="0.2">
      <c r="A46" s="8"/>
      <c r="B46" s="46"/>
      <c r="C46" s="46"/>
      <c r="D46" s="46"/>
      <c r="E46" s="46"/>
      <c r="F46" s="46"/>
      <c r="G46" s="8"/>
      <c r="H46" s="46"/>
    </row>
    <row r="47" spans="1:8" x14ac:dyDescent="0.2">
      <c r="A47" s="8"/>
      <c r="B47" s="46"/>
      <c r="C47" s="46"/>
      <c r="D47" s="46"/>
      <c r="E47" s="46"/>
      <c r="F47" s="46"/>
      <c r="G47" s="8"/>
      <c r="H47" s="46"/>
    </row>
    <row r="48" spans="1:8" x14ac:dyDescent="0.2">
      <c r="A48" s="8"/>
      <c r="B48" s="46"/>
      <c r="C48" s="46"/>
      <c r="D48" s="46"/>
      <c r="E48" s="46"/>
      <c r="F48" s="46"/>
      <c r="G48" s="8"/>
      <c r="H48" s="46"/>
    </row>
    <row r="49" spans="1:8" x14ac:dyDescent="0.2">
      <c r="A49" s="8"/>
      <c r="B49" s="46"/>
      <c r="C49" s="46"/>
      <c r="D49" s="46"/>
      <c r="E49" s="46"/>
      <c r="F49" s="46"/>
      <c r="G49" s="8"/>
      <c r="H49" s="46"/>
    </row>
    <row r="50" spans="1:8" x14ac:dyDescent="0.2">
      <c r="A50" s="8"/>
      <c r="B50" s="46"/>
      <c r="C50" s="46"/>
      <c r="D50" s="46"/>
      <c r="E50" s="46"/>
      <c r="F50" s="46"/>
      <c r="G50" s="8"/>
      <c r="H50" s="46"/>
    </row>
    <row r="51" spans="1:8" x14ac:dyDescent="0.2">
      <c r="A51" s="8"/>
      <c r="B51" s="46"/>
      <c r="C51" s="46"/>
      <c r="D51" s="46"/>
      <c r="E51" s="46"/>
      <c r="F51" s="46"/>
      <c r="G51" s="8"/>
      <c r="H51" s="46"/>
    </row>
    <row r="52" spans="1:8" x14ac:dyDescent="0.2">
      <c r="A52" s="8"/>
      <c r="B52" s="46"/>
      <c r="C52" s="46"/>
      <c r="D52" s="46"/>
      <c r="E52" s="46"/>
      <c r="F52" s="46"/>
      <c r="G52" s="8"/>
      <c r="H52" s="46"/>
    </row>
    <row r="53" spans="1:8" x14ac:dyDescent="0.2">
      <c r="A53" s="8"/>
      <c r="B53" s="46"/>
      <c r="C53" s="46"/>
      <c r="D53" s="46"/>
      <c r="E53" s="46"/>
      <c r="F53" s="46"/>
      <c r="G53" s="8"/>
      <c r="H53" s="46"/>
    </row>
    <row r="54" spans="1:8" x14ac:dyDescent="0.2">
      <c r="A54" s="8"/>
      <c r="B54" s="46"/>
      <c r="C54" s="46"/>
      <c r="D54" s="46"/>
      <c r="E54" s="46"/>
      <c r="F54" s="46"/>
      <c r="G54" s="8"/>
      <c r="H54" s="46"/>
    </row>
    <row r="55" spans="1:8" x14ac:dyDescent="0.2">
      <c r="A55" s="8"/>
      <c r="B55" s="46"/>
      <c r="C55" s="46"/>
      <c r="D55" s="46"/>
      <c r="E55" s="46"/>
      <c r="F55" s="46"/>
      <c r="G55" s="8"/>
      <c r="H55" s="46"/>
    </row>
    <row r="56" spans="1:8" x14ac:dyDescent="0.2">
      <c r="A56" s="8"/>
      <c r="B56" s="46"/>
      <c r="C56" s="46"/>
      <c r="D56" s="46"/>
      <c r="E56" s="46"/>
      <c r="F56" s="46"/>
      <c r="G56" s="8"/>
      <c r="H56" s="46"/>
    </row>
    <row r="57" spans="1:8" x14ac:dyDescent="0.2">
      <c r="A57" s="8"/>
      <c r="B57" s="46"/>
      <c r="C57" s="46"/>
      <c r="D57" s="46"/>
      <c r="E57" s="46"/>
      <c r="F57" s="46"/>
      <c r="G57" s="8"/>
      <c r="H57" s="46"/>
    </row>
    <row r="58" spans="1:8" x14ac:dyDescent="0.2">
      <c r="A58" s="8"/>
      <c r="B58" s="46"/>
      <c r="C58" s="46"/>
      <c r="D58" s="46"/>
      <c r="E58" s="46"/>
      <c r="F58" s="46"/>
      <c r="G58" s="8"/>
      <c r="H58" s="46"/>
    </row>
    <row r="59" spans="1:8" x14ac:dyDescent="0.2">
      <c r="A59" s="8"/>
      <c r="B59" s="46"/>
      <c r="C59" s="46"/>
      <c r="D59" s="46"/>
      <c r="E59" s="46"/>
      <c r="F59" s="46"/>
      <c r="G59" s="8"/>
      <c r="H59" s="46"/>
    </row>
    <row r="60" spans="1:8" x14ac:dyDescent="0.2">
      <c r="A60" s="8"/>
      <c r="B60" s="46"/>
      <c r="C60" s="46"/>
      <c r="D60" s="46"/>
      <c r="E60" s="46"/>
      <c r="F60" s="46"/>
      <c r="G60" s="8"/>
      <c r="H60" s="46"/>
    </row>
    <row r="61" spans="1:8" x14ac:dyDescent="0.2">
      <c r="A61" s="8"/>
      <c r="B61" s="46"/>
      <c r="C61" s="46"/>
      <c r="D61" s="46"/>
      <c r="E61" s="46"/>
      <c r="F61" s="46"/>
      <c r="G61" s="8"/>
      <c r="H61" s="46"/>
    </row>
    <row r="62" spans="1:8" x14ac:dyDescent="0.2">
      <c r="A62" s="8"/>
      <c r="B62" s="46"/>
      <c r="C62" s="46"/>
      <c r="D62" s="46"/>
      <c r="E62" s="46"/>
      <c r="F62" s="46"/>
      <c r="G62" s="8"/>
      <c r="H62" s="46"/>
    </row>
    <row r="63" spans="1:8" x14ac:dyDescent="0.2">
      <c r="A63" s="8"/>
      <c r="B63" s="46"/>
      <c r="C63" s="46"/>
      <c r="D63" s="46"/>
      <c r="E63" s="46"/>
      <c r="F63" s="46"/>
      <c r="G63" s="8"/>
      <c r="H63" s="46"/>
    </row>
    <row r="64" spans="1:8" x14ac:dyDescent="0.2">
      <c r="A64" s="8"/>
      <c r="B64" s="46"/>
      <c r="C64" s="46"/>
      <c r="D64" s="46"/>
      <c r="E64" s="46"/>
      <c r="F64" s="46"/>
      <c r="G64" s="8"/>
      <c r="H64" s="46"/>
    </row>
    <row r="65" spans="1:8" x14ac:dyDescent="0.2">
      <c r="A65" s="8"/>
      <c r="B65" s="46"/>
      <c r="C65" s="46"/>
      <c r="D65" s="46"/>
      <c r="E65" s="46"/>
      <c r="F65" s="46"/>
      <c r="G65" s="8"/>
      <c r="H65" s="46"/>
    </row>
    <row r="66" spans="1:8" x14ac:dyDescent="0.2">
      <c r="A66" s="8"/>
      <c r="B66" s="46"/>
      <c r="C66" s="46"/>
      <c r="D66" s="46"/>
      <c r="E66" s="46"/>
      <c r="F66" s="46"/>
      <c r="G66" s="8"/>
      <c r="H66" s="46"/>
    </row>
    <row r="67" spans="1:8" x14ac:dyDescent="0.2">
      <c r="A67" s="8"/>
      <c r="B67" s="46"/>
      <c r="C67" s="46"/>
      <c r="D67" s="46"/>
      <c r="E67" s="46"/>
      <c r="F67" s="46"/>
      <c r="G67" s="8"/>
      <c r="H67" s="46"/>
    </row>
    <row r="68" spans="1:8" x14ac:dyDescent="0.2">
      <c r="A68" s="8"/>
      <c r="B68" s="46"/>
      <c r="C68" s="46"/>
      <c r="D68" s="46"/>
      <c r="E68" s="46"/>
      <c r="F68" s="46"/>
      <c r="G68" s="8"/>
      <c r="H68" s="46"/>
    </row>
    <row r="69" spans="1:8" x14ac:dyDescent="0.2">
      <c r="A69" s="8"/>
      <c r="B69" s="46"/>
      <c r="C69" s="46"/>
      <c r="D69" s="46"/>
      <c r="E69" s="46"/>
      <c r="F69" s="46"/>
      <c r="G69" s="8"/>
      <c r="H69" s="46"/>
    </row>
    <row r="70" spans="1:8" x14ac:dyDescent="0.2">
      <c r="A70" s="8"/>
      <c r="B70" s="46"/>
      <c r="C70" s="46"/>
      <c r="D70" s="46"/>
      <c r="E70" s="46"/>
      <c r="F70" s="46"/>
      <c r="G70" s="8"/>
      <c r="H70" s="46"/>
    </row>
    <row r="71" spans="1:8" x14ac:dyDescent="0.2">
      <c r="A71" s="8"/>
      <c r="B71" s="46"/>
      <c r="C71" s="46"/>
      <c r="D71" s="46"/>
      <c r="E71" s="46"/>
      <c r="F71" s="46"/>
      <c r="G71" s="8"/>
      <c r="H71" s="46"/>
    </row>
    <row r="72" spans="1:8" x14ac:dyDescent="0.2">
      <c r="A72" s="8"/>
      <c r="B72" s="46"/>
      <c r="C72" s="46"/>
      <c r="D72" s="46"/>
      <c r="E72" s="46"/>
      <c r="F72" s="46"/>
      <c r="G72" s="8"/>
      <c r="H72" s="46"/>
    </row>
    <row r="73" spans="1:8" x14ac:dyDescent="0.2">
      <c r="A73" s="8"/>
      <c r="B73" s="46"/>
      <c r="C73" s="46"/>
      <c r="D73" s="46"/>
      <c r="E73" s="46"/>
      <c r="F73" s="46"/>
      <c r="G73" s="8"/>
      <c r="H73" s="46"/>
    </row>
    <row r="74" spans="1:8" x14ac:dyDescent="0.2">
      <c r="A74" s="8"/>
      <c r="B74" s="46"/>
      <c r="C74" s="46"/>
      <c r="D74" s="46"/>
      <c r="E74" s="46"/>
      <c r="F74" s="46"/>
      <c r="G74" s="8"/>
      <c r="H74" s="46"/>
    </row>
    <row r="75" spans="1:8" x14ac:dyDescent="0.2">
      <c r="A75" s="8"/>
      <c r="B75" s="46"/>
      <c r="C75" s="46"/>
      <c r="D75" s="46"/>
      <c r="E75" s="46"/>
      <c r="F75" s="46"/>
      <c r="G75" s="8"/>
      <c r="H75" s="46"/>
    </row>
    <row r="76" spans="1:8" x14ac:dyDescent="0.2">
      <c r="A76" s="8"/>
      <c r="B76" s="46"/>
      <c r="C76" s="46"/>
      <c r="D76" s="46"/>
      <c r="E76" s="46"/>
      <c r="F76" s="46"/>
      <c r="G76" s="8"/>
      <c r="H76" s="46"/>
    </row>
    <row r="77" spans="1:8" x14ac:dyDescent="0.2">
      <c r="A77" s="8"/>
      <c r="B77" s="46"/>
      <c r="C77" s="46"/>
      <c r="D77" s="46"/>
      <c r="E77" s="46"/>
      <c r="F77" s="46"/>
      <c r="G77" s="8"/>
      <c r="H77" s="46"/>
    </row>
    <row r="78" spans="1:8" x14ac:dyDescent="0.2">
      <c r="A78" s="8"/>
      <c r="B78" s="46"/>
      <c r="C78" s="46"/>
      <c r="D78" s="46"/>
      <c r="E78" s="46"/>
      <c r="F78" s="46"/>
      <c r="G78" s="8"/>
      <c r="H78" s="46"/>
    </row>
    <row r="79" spans="1:8" x14ac:dyDescent="0.2">
      <c r="A79" s="8"/>
      <c r="B79" s="46"/>
      <c r="C79" s="46"/>
      <c r="D79" s="46"/>
      <c r="E79" s="46"/>
      <c r="F79" s="46"/>
      <c r="G79" s="8"/>
      <c r="H79" s="46"/>
    </row>
    <row r="80" spans="1:8" x14ac:dyDescent="0.2">
      <c r="A80" s="8"/>
      <c r="B80" s="46"/>
      <c r="C80" s="46"/>
      <c r="D80" s="46"/>
      <c r="E80" s="46"/>
      <c r="F80" s="46"/>
      <c r="G80" s="8"/>
      <c r="H80" s="46"/>
    </row>
    <row r="81" spans="1:8" x14ac:dyDescent="0.2">
      <c r="A81" s="8"/>
      <c r="B81" s="46"/>
      <c r="C81" s="46"/>
      <c r="D81" s="46"/>
      <c r="E81" s="46"/>
      <c r="F81" s="46"/>
      <c r="G81" s="8"/>
      <c r="H81" s="46"/>
    </row>
    <row r="82" spans="1:8" x14ac:dyDescent="0.2">
      <c r="A82" s="8"/>
      <c r="B82" s="46"/>
      <c r="C82" s="46"/>
      <c r="D82" s="46"/>
      <c r="E82" s="46"/>
      <c r="F82" s="46"/>
      <c r="G82" s="8"/>
      <c r="H82" s="46"/>
    </row>
    <row r="83" spans="1:8" x14ac:dyDescent="0.2">
      <c r="A83" s="8"/>
      <c r="B83" s="46"/>
      <c r="C83" s="46"/>
      <c r="D83" s="46"/>
      <c r="E83" s="46"/>
      <c r="F83" s="46"/>
      <c r="G83" s="8"/>
      <c r="H83" s="46"/>
    </row>
    <row r="84" spans="1:8" x14ac:dyDescent="0.2">
      <c r="A84" s="8"/>
      <c r="B84" s="46"/>
      <c r="C84" s="46"/>
      <c r="D84" s="46"/>
      <c r="E84" s="46"/>
      <c r="F84" s="46"/>
      <c r="G84" s="8"/>
      <c r="H84" s="46"/>
    </row>
    <row r="85" spans="1:8" x14ac:dyDescent="0.2">
      <c r="A85" s="8"/>
      <c r="B85" s="46"/>
      <c r="C85" s="46"/>
      <c r="D85" s="46"/>
      <c r="E85" s="46"/>
      <c r="F85" s="46"/>
      <c r="G85" s="8"/>
      <c r="H85" s="46"/>
    </row>
    <row r="86" spans="1:8" x14ac:dyDescent="0.2">
      <c r="A86" s="8"/>
      <c r="B86" s="46"/>
      <c r="C86" s="46"/>
      <c r="D86" s="46"/>
      <c r="E86" s="46"/>
      <c r="F86" s="46"/>
      <c r="G86" s="8"/>
      <c r="H86" s="46"/>
    </row>
    <row r="87" spans="1:8" x14ac:dyDescent="0.2">
      <c r="A87" s="8"/>
      <c r="B87" s="46"/>
      <c r="C87" s="46"/>
      <c r="D87" s="46"/>
      <c r="E87" s="46"/>
      <c r="F87" s="46"/>
      <c r="G87" s="8"/>
      <c r="H87" s="46"/>
    </row>
    <row r="88" spans="1:8" x14ac:dyDescent="0.2">
      <c r="A88" s="8"/>
      <c r="B88" s="46"/>
      <c r="C88" s="46"/>
      <c r="D88" s="46"/>
      <c r="E88" s="46"/>
      <c r="F88" s="46"/>
      <c r="G88" s="8"/>
      <c r="H88" s="46"/>
    </row>
    <row r="89" spans="1:8" x14ac:dyDescent="0.2">
      <c r="A89" s="8"/>
      <c r="B89" s="46"/>
      <c r="C89" s="46"/>
      <c r="D89" s="46"/>
      <c r="E89" s="46"/>
      <c r="F89" s="46"/>
      <c r="G89" s="8"/>
      <c r="H89" s="46"/>
    </row>
    <row r="90" spans="1:8" x14ac:dyDescent="0.2">
      <c r="A90" s="8"/>
      <c r="B90" s="46"/>
      <c r="C90" s="46"/>
      <c r="D90" s="46"/>
      <c r="E90" s="46"/>
      <c r="F90" s="46"/>
      <c r="G90" s="8"/>
      <c r="H90" s="46"/>
    </row>
    <row r="91" spans="1:8" x14ac:dyDescent="0.2">
      <c r="A91" s="8"/>
      <c r="B91" s="46"/>
      <c r="C91" s="46"/>
      <c r="D91" s="46"/>
      <c r="E91" s="46"/>
      <c r="F91" s="46"/>
      <c r="G91" s="8"/>
      <c r="H91" s="46"/>
    </row>
    <row r="92" spans="1:8" x14ac:dyDescent="0.2">
      <c r="A92" s="8"/>
      <c r="B92" s="46"/>
      <c r="C92" s="46"/>
      <c r="D92" s="46"/>
      <c r="E92" s="46"/>
      <c r="F92" s="46"/>
      <c r="G92" s="8"/>
      <c r="H92" s="46"/>
    </row>
    <row r="93" spans="1:8" x14ac:dyDescent="0.2">
      <c r="A93" s="8"/>
      <c r="B93" s="46"/>
      <c r="C93" s="46"/>
      <c r="D93" s="46"/>
      <c r="E93" s="46"/>
      <c r="F93" s="46"/>
      <c r="G93" s="8"/>
      <c r="H93" s="46"/>
    </row>
    <row r="94" spans="1:8" x14ac:dyDescent="0.2">
      <c r="A94" s="8"/>
      <c r="B94" s="46"/>
      <c r="C94" s="46"/>
      <c r="D94" s="46"/>
      <c r="E94" s="46"/>
      <c r="F94" s="46"/>
      <c r="G94" s="8"/>
      <c r="H94" s="46"/>
    </row>
    <row r="95" spans="1:8" x14ac:dyDescent="0.2">
      <c r="A95" s="8"/>
      <c r="B95" s="46"/>
      <c r="C95" s="46"/>
      <c r="D95" s="46"/>
      <c r="E95" s="46"/>
      <c r="F95" s="46"/>
      <c r="G95" s="8"/>
      <c r="H95" s="46"/>
    </row>
    <row r="96" spans="1:8" x14ac:dyDescent="0.2">
      <c r="A96" s="8"/>
      <c r="B96" s="46"/>
      <c r="C96" s="46"/>
      <c r="D96" s="46"/>
      <c r="E96" s="46"/>
      <c r="F96" s="46"/>
      <c r="G96" s="8"/>
      <c r="H96" s="46"/>
    </row>
    <row r="97" spans="1:8" x14ac:dyDescent="0.2">
      <c r="A97" s="8"/>
      <c r="B97" s="46"/>
      <c r="C97" s="46"/>
      <c r="D97" s="46"/>
      <c r="E97" s="46"/>
      <c r="F97" s="46"/>
      <c r="G97" s="8"/>
      <c r="H97" s="46"/>
    </row>
    <row r="98" spans="1:8" x14ac:dyDescent="0.2">
      <c r="A98" s="8"/>
      <c r="B98" s="46"/>
      <c r="C98" s="46"/>
      <c r="D98" s="46"/>
      <c r="E98" s="46"/>
      <c r="F98" s="46"/>
      <c r="G98" s="8"/>
      <c r="H98" s="46"/>
    </row>
    <row r="99" spans="1:8" x14ac:dyDescent="0.2">
      <c r="A99" s="8"/>
      <c r="B99" s="46"/>
      <c r="C99" s="46"/>
      <c r="D99" s="46"/>
      <c r="E99" s="46"/>
      <c r="F99" s="46"/>
      <c r="G99" s="8"/>
      <c r="H99" s="46"/>
    </row>
    <row r="100" spans="1:8" x14ac:dyDescent="0.2">
      <c r="A100" s="8"/>
      <c r="B100" s="46"/>
      <c r="C100" s="46"/>
      <c r="D100" s="46"/>
      <c r="E100" s="46"/>
      <c r="F100" s="46"/>
      <c r="G100" s="8"/>
      <c r="H100" s="46"/>
    </row>
    <row r="101" spans="1:8" x14ac:dyDescent="0.2">
      <c r="A101" s="8"/>
      <c r="B101" s="46"/>
      <c r="C101" s="46"/>
      <c r="D101" s="46"/>
      <c r="E101" s="46"/>
      <c r="F101" s="46"/>
      <c r="G101" s="8"/>
      <c r="H101" s="46"/>
    </row>
    <row r="102" spans="1:8" x14ac:dyDescent="0.2">
      <c r="A102" s="8"/>
      <c r="B102" s="46"/>
      <c r="C102" s="46"/>
      <c r="D102" s="46"/>
      <c r="E102" s="46"/>
      <c r="F102" s="46"/>
      <c r="G102" s="8"/>
      <c r="H102" s="46"/>
    </row>
    <row r="103" spans="1:8" x14ac:dyDescent="0.2">
      <c r="A103" s="8"/>
      <c r="B103" s="46"/>
      <c r="C103" s="46"/>
      <c r="D103" s="46"/>
      <c r="E103" s="46"/>
      <c r="F103" s="46"/>
      <c r="G103" s="8"/>
      <c r="H103" s="46"/>
    </row>
    <row r="104" spans="1:8" x14ac:dyDescent="0.2">
      <c r="A104" s="8"/>
      <c r="B104" s="46"/>
      <c r="C104" s="46"/>
      <c r="D104" s="46"/>
      <c r="E104" s="46"/>
      <c r="F104" s="46"/>
      <c r="G104" s="8"/>
      <c r="H104" s="46"/>
    </row>
    <row r="105" spans="1:8" x14ac:dyDescent="0.2">
      <c r="A105" s="8"/>
      <c r="B105" s="46"/>
      <c r="C105" s="46"/>
      <c r="D105" s="46"/>
      <c r="E105" s="46"/>
      <c r="F105" s="46"/>
      <c r="G105" s="8"/>
      <c r="H105" s="46"/>
    </row>
    <row r="106" spans="1:8" x14ac:dyDescent="0.2">
      <c r="A106" s="8"/>
      <c r="B106" s="46"/>
      <c r="C106" s="46"/>
      <c r="D106" s="46"/>
      <c r="E106" s="46"/>
      <c r="F106" s="46"/>
      <c r="G106" s="8"/>
      <c r="H106" s="46"/>
    </row>
    <row r="107" spans="1:8" x14ac:dyDescent="0.2">
      <c r="A107" s="8"/>
      <c r="B107" s="46"/>
      <c r="C107" s="46"/>
      <c r="D107" s="46"/>
      <c r="E107" s="46"/>
      <c r="F107" s="46"/>
      <c r="G107" s="8"/>
      <c r="H107" s="46"/>
    </row>
    <row r="108" spans="1:8" x14ac:dyDescent="0.2">
      <c r="A108" s="8"/>
      <c r="B108" s="46"/>
      <c r="C108" s="46"/>
      <c r="D108" s="46"/>
      <c r="E108" s="46"/>
      <c r="F108" s="46"/>
      <c r="G108" s="8"/>
      <c r="H108" s="46"/>
    </row>
    <row r="109" spans="1:8" x14ac:dyDescent="0.2">
      <c r="A109" s="8"/>
      <c r="B109" s="46"/>
      <c r="C109" s="46"/>
      <c r="D109" s="46"/>
      <c r="E109" s="46"/>
      <c r="F109" s="46"/>
      <c r="G109" s="8"/>
      <c r="H109" s="46"/>
    </row>
    <row r="110" spans="1:8" x14ac:dyDescent="0.2">
      <c r="A110" s="8"/>
      <c r="B110" s="46"/>
      <c r="C110" s="46"/>
      <c r="D110" s="46"/>
      <c r="E110" s="46"/>
      <c r="F110" s="46"/>
      <c r="G110" s="8"/>
      <c r="H110" s="46"/>
    </row>
    <row r="111" spans="1:8" x14ac:dyDescent="0.2">
      <c r="A111" s="8"/>
      <c r="B111" s="46"/>
      <c r="C111" s="46"/>
      <c r="D111" s="46"/>
      <c r="E111" s="46"/>
      <c r="F111" s="46"/>
      <c r="G111" s="8"/>
      <c r="H111" s="46"/>
    </row>
    <row r="112" spans="1:8" x14ac:dyDescent="0.2">
      <c r="A112" s="8"/>
      <c r="B112" s="46"/>
      <c r="C112" s="46"/>
      <c r="D112" s="46"/>
      <c r="E112" s="46"/>
      <c r="F112" s="46"/>
      <c r="G112" s="8"/>
      <c r="H112" s="46"/>
    </row>
    <row r="113" spans="1:8" x14ac:dyDescent="0.2">
      <c r="A113" s="8"/>
      <c r="B113" s="46"/>
      <c r="C113" s="46"/>
      <c r="D113" s="46"/>
      <c r="E113" s="46"/>
      <c r="F113" s="46"/>
      <c r="G113" s="8"/>
      <c r="H113" s="46"/>
    </row>
    <row r="114" spans="1:8" x14ac:dyDescent="0.2">
      <c r="A114" s="8"/>
      <c r="B114" s="46"/>
      <c r="C114" s="46"/>
      <c r="D114" s="46"/>
      <c r="E114" s="46"/>
      <c r="F114" s="46"/>
      <c r="G114" s="8"/>
      <c r="H114" s="46"/>
    </row>
    <row r="115" spans="1:8" x14ac:dyDescent="0.2">
      <c r="A115" s="8"/>
      <c r="B115" s="46"/>
      <c r="C115" s="46"/>
      <c r="D115" s="46"/>
      <c r="E115" s="46"/>
      <c r="F115" s="46"/>
      <c r="G115" s="8"/>
      <c r="H115" s="46"/>
    </row>
    <row r="116" spans="1:8" x14ac:dyDescent="0.2">
      <c r="A116" s="8"/>
      <c r="B116" s="46"/>
      <c r="C116" s="46"/>
      <c r="D116" s="46"/>
      <c r="E116" s="46"/>
      <c r="F116" s="46"/>
      <c r="G116" s="8"/>
      <c r="H116" s="46"/>
    </row>
    <row r="117" spans="1:8" x14ac:dyDescent="0.2">
      <c r="A117" s="8"/>
      <c r="B117" s="46"/>
      <c r="C117" s="46"/>
      <c r="D117" s="46"/>
      <c r="E117" s="46"/>
      <c r="F117" s="46"/>
      <c r="G117" s="8"/>
      <c r="H117" s="46"/>
    </row>
    <row r="118" spans="1:8" x14ac:dyDescent="0.2">
      <c r="A118" s="8"/>
      <c r="B118" s="46"/>
      <c r="C118" s="46"/>
      <c r="D118" s="46"/>
      <c r="E118" s="46"/>
      <c r="F118" s="46"/>
      <c r="G118" s="8"/>
      <c r="H118" s="46"/>
    </row>
    <row r="119" spans="1:8" x14ac:dyDescent="0.2">
      <c r="A119" s="8"/>
      <c r="B119" s="46"/>
      <c r="C119" s="46"/>
      <c r="D119" s="46"/>
      <c r="E119" s="46"/>
      <c r="F119" s="46"/>
      <c r="G119" s="8"/>
      <c r="H119" s="46"/>
    </row>
    <row r="120" spans="1:8" x14ac:dyDescent="0.2">
      <c r="A120" s="8"/>
      <c r="B120" s="46"/>
      <c r="C120" s="46"/>
      <c r="D120" s="46"/>
      <c r="E120" s="46"/>
      <c r="F120" s="46"/>
      <c r="G120" s="8"/>
      <c r="H120" s="46"/>
    </row>
    <row r="121" spans="1:8" x14ac:dyDescent="0.2">
      <c r="A121" s="8"/>
      <c r="B121" s="46"/>
      <c r="C121" s="46"/>
      <c r="D121" s="46"/>
      <c r="E121" s="46"/>
      <c r="F121" s="46"/>
      <c r="G121" s="8"/>
      <c r="H121" s="46"/>
    </row>
    <row r="122" spans="1:8" x14ac:dyDescent="0.2">
      <c r="A122" s="8"/>
      <c r="B122" s="46"/>
      <c r="C122" s="46"/>
      <c r="D122" s="46"/>
      <c r="E122" s="46"/>
      <c r="F122" s="46"/>
      <c r="G122" s="8"/>
      <c r="H122" s="46"/>
    </row>
    <row r="123" spans="1:8" x14ac:dyDescent="0.2">
      <c r="A123" s="8"/>
      <c r="B123" s="46"/>
      <c r="C123" s="46"/>
      <c r="D123" s="46"/>
      <c r="E123" s="46"/>
      <c r="F123" s="46"/>
      <c r="G123" s="8"/>
      <c r="H123" s="46"/>
    </row>
    <row r="124" spans="1:8" x14ac:dyDescent="0.2">
      <c r="A124" s="8"/>
      <c r="B124" s="46"/>
      <c r="C124" s="46"/>
      <c r="D124" s="46"/>
      <c r="E124" s="46"/>
      <c r="F124" s="46"/>
      <c r="G124" s="8"/>
      <c r="H124" s="46"/>
    </row>
    <row r="125" spans="1:8" x14ac:dyDescent="0.2">
      <c r="A125" s="8"/>
      <c r="B125" s="46"/>
      <c r="C125" s="46"/>
      <c r="D125" s="46"/>
      <c r="E125" s="46"/>
      <c r="F125" s="46"/>
      <c r="G125" s="8"/>
      <c r="H125" s="46"/>
    </row>
    <row r="126" spans="1:8" x14ac:dyDescent="0.2">
      <c r="A126" s="8"/>
      <c r="B126" s="46"/>
      <c r="C126" s="46"/>
      <c r="D126" s="46"/>
      <c r="E126" s="46"/>
      <c r="F126" s="46"/>
      <c r="G126" s="8"/>
      <c r="H126" s="46"/>
    </row>
    <row r="127" spans="1:8" x14ac:dyDescent="0.2">
      <c r="A127" s="8"/>
      <c r="B127" s="46"/>
      <c r="C127" s="46"/>
      <c r="D127" s="46"/>
      <c r="E127" s="46"/>
      <c r="F127" s="46"/>
      <c r="G127" s="8"/>
      <c r="H127" s="46"/>
    </row>
    <row r="128" spans="1:8" x14ac:dyDescent="0.2">
      <c r="A128" s="8"/>
      <c r="B128" s="46"/>
      <c r="C128" s="46"/>
      <c r="D128" s="46"/>
      <c r="E128" s="46"/>
      <c r="F128" s="46"/>
      <c r="G128" s="8"/>
      <c r="H128" s="46"/>
    </row>
    <row r="129" spans="1:8" x14ac:dyDescent="0.2">
      <c r="A129" s="8"/>
      <c r="B129" s="46"/>
      <c r="C129" s="46"/>
      <c r="D129" s="46"/>
      <c r="E129" s="46"/>
      <c r="F129" s="46"/>
      <c r="G129" s="8"/>
      <c r="H129" s="46"/>
    </row>
    <row r="130" spans="1:8" x14ac:dyDescent="0.2">
      <c r="A130" s="8"/>
      <c r="B130" s="46"/>
      <c r="C130" s="46"/>
      <c r="D130" s="46"/>
      <c r="E130" s="46"/>
      <c r="F130" s="46"/>
      <c r="G130" s="8"/>
      <c r="H130" s="46"/>
    </row>
    <row r="131" spans="1:8" x14ac:dyDescent="0.2">
      <c r="A131" s="8"/>
      <c r="B131" s="46"/>
      <c r="C131" s="46"/>
      <c r="D131" s="46"/>
      <c r="E131" s="46"/>
      <c r="F131" s="46"/>
      <c r="G131" s="8"/>
      <c r="H131" s="46"/>
    </row>
    <row r="132" spans="1:8" x14ac:dyDescent="0.2">
      <c r="A132" s="8"/>
      <c r="B132" s="46"/>
      <c r="C132" s="46"/>
      <c r="D132" s="46"/>
      <c r="E132" s="46"/>
      <c r="F132" s="46"/>
      <c r="G132" s="8"/>
      <c r="H132" s="46"/>
    </row>
    <row r="133" spans="1:8" x14ac:dyDescent="0.2">
      <c r="A133" s="8"/>
      <c r="B133" s="46"/>
      <c r="C133" s="46"/>
      <c r="D133" s="46"/>
      <c r="E133" s="46"/>
      <c r="F133" s="46"/>
      <c r="G133" s="8"/>
      <c r="H133" s="46"/>
    </row>
    <row r="134" spans="1:8" x14ac:dyDescent="0.2">
      <c r="A134" s="8"/>
      <c r="B134" s="46"/>
      <c r="C134" s="46"/>
      <c r="D134" s="46"/>
      <c r="E134" s="46"/>
      <c r="F134" s="46"/>
      <c r="G134" s="8"/>
      <c r="H134" s="46"/>
    </row>
    <row r="135" spans="1:8" x14ac:dyDescent="0.2">
      <c r="A135" s="8"/>
      <c r="B135" s="46"/>
      <c r="C135" s="46"/>
      <c r="D135" s="46"/>
      <c r="E135" s="46"/>
      <c r="F135" s="46"/>
      <c r="G135" s="8"/>
      <c r="H135" s="46"/>
    </row>
    <row r="136" spans="1:8" x14ac:dyDescent="0.2">
      <c r="A136" s="8"/>
      <c r="B136" s="46"/>
      <c r="C136" s="46"/>
      <c r="D136" s="46"/>
      <c r="E136" s="46"/>
      <c r="F136" s="46"/>
      <c r="G136" s="8"/>
      <c r="H136" s="46"/>
    </row>
    <row r="137" spans="1:8" x14ac:dyDescent="0.2">
      <c r="A137" s="8"/>
      <c r="B137" s="46"/>
      <c r="C137" s="46"/>
      <c r="D137" s="46"/>
      <c r="E137" s="46"/>
      <c r="F137" s="46"/>
      <c r="G137" s="8"/>
      <c r="H137" s="46"/>
    </row>
    <row r="138" spans="1:8" x14ac:dyDescent="0.2">
      <c r="A138" s="8"/>
      <c r="B138" s="46"/>
      <c r="C138" s="46"/>
      <c r="D138" s="46"/>
      <c r="E138" s="46"/>
      <c r="F138" s="46"/>
      <c r="G138" s="8"/>
      <c r="H138" s="46"/>
    </row>
    <row r="139" spans="1:8" x14ac:dyDescent="0.2">
      <c r="A139" s="8"/>
      <c r="B139" s="46"/>
      <c r="C139" s="46"/>
      <c r="D139" s="46"/>
      <c r="E139" s="46"/>
      <c r="F139" s="46"/>
      <c r="G139" s="8"/>
      <c r="H139" s="46"/>
    </row>
    <row r="140" spans="1:8" x14ac:dyDescent="0.2">
      <c r="A140" s="8"/>
      <c r="B140" s="46"/>
      <c r="C140" s="46"/>
      <c r="D140" s="46"/>
      <c r="E140" s="46"/>
      <c r="F140" s="46"/>
      <c r="G140" s="8"/>
      <c r="H140" s="46"/>
    </row>
    <row r="141" spans="1:8" x14ac:dyDescent="0.2">
      <c r="A141" s="8"/>
      <c r="B141" s="46"/>
      <c r="C141" s="46"/>
      <c r="D141" s="46"/>
      <c r="E141" s="46"/>
      <c r="F141" s="46"/>
      <c r="G141" s="8"/>
      <c r="H141" s="46"/>
    </row>
    <row r="142" spans="1:8" x14ac:dyDescent="0.2">
      <c r="A142" s="8"/>
      <c r="B142" s="46"/>
      <c r="C142" s="46"/>
      <c r="D142" s="46"/>
      <c r="E142" s="46"/>
      <c r="F142" s="46"/>
      <c r="G142" s="8"/>
      <c r="H142" s="46"/>
    </row>
    <row r="143" spans="1:8" x14ac:dyDescent="0.2">
      <c r="A143" s="8"/>
      <c r="B143" s="46"/>
      <c r="C143" s="46"/>
      <c r="D143" s="46"/>
      <c r="E143" s="46"/>
      <c r="F143" s="46"/>
      <c r="G143" s="8"/>
      <c r="H143" s="46"/>
    </row>
    <row r="144" spans="1:8" x14ac:dyDescent="0.2">
      <c r="A144" s="8"/>
      <c r="B144" s="46"/>
      <c r="C144" s="46"/>
      <c r="D144" s="46"/>
      <c r="E144" s="46"/>
      <c r="F144" s="46"/>
      <c r="G144" s="8"/>
      <c r="H144" s="46"/>
    </row>
    <row r="145" spans="1:8" x14ac:dyDescent="0.2">
      <c r="A145" s="8"/>
      <c r="B145" s="46"/>
      <c r="C145" s="46"/>
      <c r="D145" s="46"/>
      <c r="E145" s="46"/>
      <c r="F145" s="46"/>
      <c r="G145" s="8"/>
      <c r="H145" s="46"/>
    </row>
    <row r="146" spans="1:8" x14ac:dyDescent="0.2">
      <c r="A146" s="8"/>
      <c r="B146" s="46"/>
      <c r="C146" s="46"/>
      <c r="D146" s="46"/>
      <c r="E146" s="46"/>
      <c r="F146" s="46"/>
      <c r="G146" s="8"/>
      <c r="H146" s="46"/>
    </row>
    <row r="147" spans="1:8" x14ac:dyDescent="0.2">
      <c r="A147" s="8"/>
      <c r="B147" s="46"/>
      <c r="C147" s="46"/>
      <c r="D147" s="46"/>
      <c r="E147" s="46"/>
      <c r="F147" s="46"/>
      <c r="G147" s="8"/>
      <c r="H147" s="46"/>
    </row>
    <row r="148" spans="1:8" x14ac:dyDescent="0.2">
      <c r="A148" s="8"/>
      <c r="B148" s="8"/>
      <c r="C148" s="8"/>
      <c r="D148" s="8"/>
      <c r="E148" s="8"/>
      <c r="F148" s="8"/>
      <c r="G148" s="8"/>
      <c r="H148" s="8"/>
    </row>
  </sheetData>
  <mergeCells count="10">
    <mergeCell ref="H18:H19"/>
    <mergeCell ref="J18:K18"/>
    <mergeCell ref="L18:M18"/>
    <mergeCell ref="F22:G22"/>
    <mergeCell ref="E24:E25"/>
    <mergeCell ref="D2:D3"/>
    <mergeCell ref="D5:E5"/>
    <mergeCell ref="D9:G9"/>
    <mergeCell ref="D10:G10"/>
    <mergeCell ref="D13:G13"/>
  </mergeCells>
  <dataValidations count="6">
    <dataValidation type="list" allowBlank="1" showInputMessage="1" showErrorMessage="1" promptTitle="Tipo de Tasa" prompt="0 =&gt; PRIME_x000a_1 =&gt; LIBOR" sqref="D4">
      <formula1>"0,1"</formula1>
    </dataValidation>
    <dataValidation type="list" allowBlank="1" showInputMessage="1" showErrorMessage="1" promptTitle="Años" prompt=" 1 =&gt; Anual_x000a_ 1 =&gt; Semestral_x000a_ 1 =&gt; Cuatrimestral_x000a_ 4 =&gt; Trimestral_x000a_ 6 =&gt; Bimensual_x000a_12 =&gt; Mensual" sqref="C10">
      <formula1>"1,2,3,4,6,12"</formula1>
    </dataValidation>
    <dataValidation type="list" allowBlank="1" showInputMessage="1" showErrorMessage="1" promptTitle="Tipo de Leasing" prompt="0 =&gt; Financiero_x000a_1 =&gt; Operativo (Renting)" sqref="C13">
      <formula1>"0,1"</formula1>
    </dataValidation>
    <dataValidation type="list" allowBlank="1" showInputMessage="1" showErrorMessage="1" promptTitle="Forma de Pago" prompt="0 =&gt; Cuotas constantes_x000a_1 =&gt; Amort. Constante_x000a_2 =&gt; Cuotas Crescientes" sqref="E16">
      <formula1>"0,1,2"</formula1>
    </dataValidation>
    <dataValidation type="list" allowBlank="1" showInputMessage="1" showErrorMessage="1" promptTitle="Progresión" prompt="0 =&gt; Aritmética_x000a_1 =&gt; Geométrica" sqref="H18:H19">
      <formula1>"0,1"</formula1>
    </dataValidation>
    <dataValidation type="list" allowBlank="1" showInputMessage="1" showErrorMessage="1" promptTitle="Tipo de Impuesto" prompt="0 =&gt; Sin I.V._x000a_1 =&gt; Con I.V." sqref="E22">
      <formula1>"0,1"</formula1>
    </dataValidation>
  </dataValidations>
  <hyperlinks>
    <hyperlink ref="Q3" r:id="rId1" display="bradrd2009jp@gmail.com"/>
  </hyperlinks>
  <pageMargins left="0.78749999999999998" right="0.78749999999999998" top="1.0249999999999999" bottom="1.0249999999999999" header="0.78749999999999998" footer="0.78749999999999998"/>
  <pageSetup paperSize="9" orientation="portrait" useFirstPageNumber="1" r:id="rId2"/>
  <headerFooter>
    <oddHeader>&amp;C&amp;A</oddHeader>
    <oddFooter>&amp;CPage &amp;P</oddFooter>
  </headerFooter>
  <drawing r:id="rId3"/>
  <legacyDrawing r:id="rId4"/>
  <controls>
    <mc:AlternateContent xmlns:mc="http://schemas.openxmlformats.org/markup-compatibility/2006">
      <mc:Choice Requires="x14">
        <control shapeId="1026" r:id="rId5" name="Limpiar">
          <controlPr defaultSize="0" autoLine="0" r:id="rId6">
            <anchor moveWithCells="1">
              <from>
                <xdr:col>1</xdr:col>
                <xdr:colOff>1333500</xdr:colOff>
                <xdr:row>22</xdr:row>
                <xdr:rowOff>104775</xdr:rowOff>
              </from>
              <to>
                <xdr:col>2</xdr:col>
                <xdr:colOff>1104900</xdr:colOff>
                <xdr:row>24</xdr:row>
                <xdr:rowOff>85725</xdr:rowOff>
              </to>
            </anchor>
          </controlPr>
        </control>
      </mc:Choice>
      <mc:Fallback>
        <control shapeId="1026" r:id="rId5" name="Limpiar"/>
      </mc:Fallback>
    </mc:AlternateContent>
    <mc:AlternateContent xmlns:mc="http://schemas.openxmlformats.org/markup-compatibility/2006">
      <mc:Choice Requires="x14">
        <control shapeId="1025" r:id="rId7" name="Generar">
          <controlPr defaultSize="0" autoLine="0" r:id="rId8">
            <anchor moveWithCells="1">
              <from>
                <xdr:col>1</xdr:col>
                <xdr:colOff>9525</xdr:colOff>
                <xdr:row>22</xdr:row>
                <xdr:rowOff>104775</xdr:rowOff>
              </from>
              <to>
                <xdr:col>1</xdr:col>
                <xdr:colOff>1228725</xdr:colOff>
                <xdr:row>24</xdr:row>
                <xdr:rowOff>85725</xdr:rowOff>
              </to>
            </anchor>
          </controlPr>
        </control>
      </mc:Choice>
      <mc:Fallback>
        <control shapeId="1025" r:id="rId7" name="Gener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Leasing-INFO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Cálculo del Leasing</dc:title>
  <dc:creator>bradrd2;BRD-2018;Brayan</dc:creator>
  <cp:lastModifiedBy>bradrd2</cp:lastModifiedBy>
  <cp:revision>95</cp:revision>
  <dcterms:created xsi:type="dcterms:W3CDTF">2018-03-02T15:22:55Z</dcterms:created>
  <dcterms:modified xsi:type="dcterms:W3CDTF">2018-04-05T14:35:54Z</dcterms:modified>
  <dc:language>en-US</dc:language>
</cp:coreProperties>
</file>